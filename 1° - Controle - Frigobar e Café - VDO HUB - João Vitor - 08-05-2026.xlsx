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 - Projetos\Carlos\automacao_sala_comercial\"/>
    </mc:Choice>
  </mc:AlternateContent>
  <xr:revisionPtr revIDLastSave="0" documentId="13_ncr:1_{97065DD8-1917-4663-87E6-0D9FB384CBE7}" xr6:coauthVersionLast="47" xr6:coauthVersionMax="47" xr10:uidLastSave="{00000000-0000-0000-0000-000000000000}"/>
  <bookViews>
    <workbookView xWindow="-28920" yWindow="-4965" windowWidth="29040" windowHeight="16440" xr2:uid="{00000000-000D-0000-FFFF-FFFF00000000}"/>
  </bookViews>
  <sheets>
    <sheet name="Controle Frigob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8" i="1"/>
  <c r="J8" i="1" s="1"/>
  <c r="C5" i="1"/>
  <c r="G5" i="1" l="1"/>
  <c r="J5" i="1"/>
  <c r="E5" i="1"/>
  <c r="K5" i="1" l="1"/>
  <c r="L5" i="1" s="1"/>
</calcChain>
</file>

<file path=xl/sharedStrings.xml><?xml version="1.0" encoding="utf-8"?>
<sst xmlns="http://schemas.openxmlformats.org/spreadsheetml/2006/main" count="134" uniqueCount="127">
  <si>
    <t>CONTROLE DE PRODUTOS DO FRIGOBAR - VDO HUB</t>
  </si>
  <si>
    <t>Produtos cadastrados</t>
  </si>
  <si>
    <t>Total no depósito</t>
  </si>
  <si>
    <t>Código</t>
  </si>
  <si>
    <t>Produto</t>
  </si>
  <si>
    <t>Unidade</t>
  </si>
  <si>
    <t>Qtd. no Frigobar</t>
  </si>
  <si>
    <t>P001</t>
  </si>
  <si>
    <t>P002</t>
  </si>
  <si>
    <t>P003</t>
  </si>
  <si>
    <t>P004</t>
  </si>
  <si>
    <t>P005</t>
  </si>
  <si>
    <t>Energético Red Bull 250ml</t>
  </si>
  <si>
    <t>P006</t>
  </si>
  <si>
    <t>P007</t>
  </si>
  <si>
    <t>Água Mineral Prata C/ Gás</t>
  </si>
  <si>
    <t>Água Mineral Prata S/ Gás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</si>
  <si>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</si>
  <si>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</si>
  <si>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</si>
  <si>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</si>
  <si>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</si>
  <si>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</si>
  <si>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</si>
  <si>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</si>
  <si>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</si>
  <si>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</si>
  <si>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</si>
  <si>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</si>
  <si>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</si>
  <si>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</si>
  <si>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</si>
  <si>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</si>
  <si>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</si>
  <si>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</si>
  <si>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</si>
  <si>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</si>
  <si>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</si>
  <si>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</si>
  <si>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</si>
  <si>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</si>
  <si>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</si>
  <si>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</si>
  <si>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</si>
  <si>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</si>
  <si>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</si>
  <si>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</si>
  <si>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</si>
  <si>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</si>
  <si>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</si>
  <si>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</si>
  <si>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</si>
  <si>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</si>
  <si>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</si>
  <si>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</si>
  <si>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</si>
  <si>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</si>
  <si>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</si>
  <si>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</si>
  <si>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</si>
  <si>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</si>
  <si>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</si>
  <si>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</si>
  <si>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</si>
  <si>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</si>
  <si>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</si>
  <si>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</si>
  <si>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</si>
  <si>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</si>
  <si>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</si>
  <si>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</si>
  <si>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</si>
  <si>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</si>
  <si>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</si>
  <si>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</si>
  <si>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</si>
  <si>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</si>
  <si>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</si>
  <si>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</si>
  <si>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</si>
  <si>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</si>
  <si>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</si>
  <si>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</si>
  <si>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</si>
  <si>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</si>
  <si>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</si>
  <si>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</si>
  <si>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</si>
  <si>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</si>
  <si>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</si>
  <si>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</si>
  <si>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</si>
  <si>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</si>
  <si>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</si>
  <si>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</si>
  <si>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</si>
  <si>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</si>
  <si>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</si>
  <si>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</si>
  <si>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</si>
  <si>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</si>
  <si>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</si>
  <si>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</si>
  <si>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</si>
  <si>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</si>
  <si>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</si>
  <si>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</si>
  <si>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</si>
  <si>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</si>
  <si>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</si>
  <si>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Água Mineral Acqua Panna</t>
  </si>
  <si>
    <t xml:space="preserve">Coca Cola Lata </t>
  </si>
  <si>
    <t>Coca Cola Lata Zero</t>
  </si>
  <si>
    <t>Energético Red Bull Zero 250ml</t>
  </si>
  <si>
    <t>LATA</t>
  </si>
  <si>
    <t>GARRAFA</t>
  </si>
  <si>
    <t>Preço Unitário de Custo</t>
  </si>
  <si>
    <t>Preço Unitário de de Venda</t>
  </si>
  <si>
    <t>Valor total de Custo</t>
  </si>
  <si>
    <t>Valor total de Venda</t>
  </si>
  <si>
    <t xml:space="preserve">Total Custo </t>
  </si>
  <si>
    <t>Total de Venda</t>
  </si>
  <si>
    <t>Lucro Apurado</t>
  </si>
  <si>
    <t>ROI</t>
  </si>
  <si>
    <t>Qtd. Frigobar Vendido</t>
  </si>
  <si>
    <t>Quantidades</t>
  </si>
  <si>
    <t>Qtd.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</si>
</sst>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\ #,##0.00"/>
    <numFmt numFmtId="165" formatCode="_-[$R$-416]\ * #,##0.00_-;\-[$R$-416]\ * #,##0.00_-;_-[$R$-416]\ * &quot;-&quot;??_-;_-@_-"/>
  </numFmts>
  <fonts count="9">
    <font>
      <sz val="11"/>
      <name val="Carlito"/>
    </font>
    <font>
      <b/>
      <sz val="16"/>
      <color rgb="FFFFFFFF"/>
      <name val="Carlito"/>
    </font>
    <font>
      <b/>
      <sz val="10"/>
      <color rgb="FF385A64"/>
      <name val="Carlito"/>
    </font>
    <font>
      <b/>
      <sz val="13"/>
      <color rgb="FF111827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1"/>
      <color rgb="FF1F4E5F"/>
      <name val="Carlito"/>
    </font>
    <font>
      <sz val="8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7F4EA"/>
      </patternFill>
    </fill>
    <fill>
      <patternFill patternType="solid">
        <fgColor rgb="FF2F6F73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5">
    <dxf>
      <font>
        <color rgb="FF92400E"/>
      </font>
      <fill>
        <patternFill>
          <bgColor rgb="FFFEF3C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91B1B"/>
      </font>
      <fill>
        <patternFill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numFmt numFmtId="164" formatCode="\R\$\ #,##0.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troleFrigobar" displayName="TabelaControleFrigobar" ref="C7:J107">
  <tableColumns count="8">
    <tableColumn id="1" xr3:uid="{00000000-0010-0000-0000-000001000000}" name="Código"/>
    <tableColumn id="2" xr3:uid="{00000000-0010-0000-0000-000002000000}" name="Produto"/>
    <tableColumn id="3" xr3:uid="{00000000-0010-0000-0000-000003000000}" name="Unidade"/>
    <tableColumn id="4" xr3:uid="{00000000-0010-0000-0000-000004000000}" name="Preço Unitário de Custo"/>
    <tableColumn id="5" xr3:uid="{00000000-0010-0000-0000-000005000000}" name="Preço Unitário de de Venda"/>
    <tableColumn id="11" xr3:uid="{F754BF1E-77EF-411C-9D61-19DBF462BAA3}" name="Qtd. Frigobar Vendido" dataDxfId="4"/>
    <tableColumn id="6" xr3:uid="{00000000-0010-0000-0000-000006000000}" name="Valor total de Custo"/>
    <tableColumn id="7" xr3:uid="{00000000-0010-0000-0000-000007000000}" name="Valor total de V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zoomScale="80" zoomScaleNormal="80" workbookViewId="0">
      <selection activeCell="D123" sqref="D123"/>
    </sheetView>
  </sheetViews>
  <sheetFormatPr defaultRowHeight="14.25"/>
  <cols>
    <col min="2" max="3" width="8.375" bestFit="1" customWidth="1"/>
    <col min="4" max="4" width="27.625" bestFit="1" customWidth="1"/>
    <col min="5" max="5" width="21.875" bestFit="1" customWidth="1"/>
    <col min="6" max="7" width="13.75" bestFit="1" customWidth="1"/>
    <col min="8" max="8" width="12.625" bestFit="1" customWidth="1"/>
    <col min="9" max="9" width="10.125" bestFit="1" customWidth="1"/>
    <col min="10" max="11" width="13.875" bestFit="1" customWidth="1"/>
    <col min="12" max="12" width="11.75" bestFit="1" customWidth="1"/>
  </cols>
  <sheetData>
    <row r="1" spans="1:12" ht="30" customHeight="1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1.95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>
      <c r="A4" s="22" t="s">
        <v>125</v>
      </c>
      <c r="B4" s="23"/>
      <c r="C4" s="26" t="s">
        <v>1</v>
      </c>
      <c r="D4" s="26"/>
      <c r="E4" s="26" t="s">
        <v>2</v>
      </c>
      <c r="F4" s="26"/>
      <c r="G4" s="26" t="s">
        <v>120</v>
      </c>
      <c r="H4" s="26"/>
      <c r="I4" s="26"/>
      <c r="J4" s="5" t="s">
        <v>121</v>
      </c>
      <c r="K4" s="5" t="s">
        <v>122</v>
      </c>
      <c r="L4" s="5" t="s">
        <v>123</v>
      </c>
    </row>
    <row r="5" spans="1:12" ht="16.5">
      <c r="A5" s="24"/>
      <c r="B5" s="25"/>
      <c r="C5" s="27">
        <f>COUNTA(D8:D107)</f>
        <v>8</v>
      </c>
      <c r="D5" s="27"/>
      <c r="E5" s="27">
        <f>SUM(J8:J107)</f>
        <v>305.37</v>
      </c>
      <c r="F5" s="27"/>
      <c r="G5" s="28">
        <f>SUM(I8:I15)</f>
        <v>0</v>
      </c>
      <c r="H5" s="28"/>
      <c r="I5" s="28"/>
      <c r="J5" s="7">
        <f>SUM(J8:J15)</f>
        <v>305.37</v>
      </c>
      <c r="K5" s="6">
        <f>J5-G5</f>
        <v>305.37</v>
      </c>
      <c r="L5" s="7" t="e">
        <f>K5/G5</f>
        <v>#DIV/0!</v>
      </c>
    </row>
    <row r="7" spans="1:12" ht="33.950000000000003" customHeight="1">
      <c r="A7" s="8" t="s">
        <v>126</v>
      </c>
      <c r="B7" s="8" t="s">
        <v>6</v>
      </c>
      <c r="C7" s="8" t="s">
        <v>3</v>
      </c>
      <c r="D7" s="8" t="s">
        <v>4</v>
      </c>
      <c r="E7" s="8" t="s">
        <v>5</v>
      </c>
      <c r="F7" s="8" t="s">
        <v>116</v>
      </c>
      <c r="G7" s="8" t="s">
        <v>117</v>
      </c>
      <c r="H7" s="8" t="s">
        <v>124</v>
      </c>
      <c r="I7" s="8" t="s">
        <v>118</v>
      </c>
      <c r="J7" s="8" t="s">
        <v>119</v>
      </c>
      <c r="K7" s="8"/>
      <c r="L7" s="8"/>
    </row>
    <row r="8" spans="1:12">
      <c r="A8" s="9">
        <v>0</v>
      </c>
      <c r="B8" s="9">
        <v>2</v>
      </c>
      <c r="C8" s="10" t="s">
        <v>7</v>
      </c>
      <c r="D8" s="11" t="s">
        <v>12</v>
      </c>
      <c r="E8" s="10" t="s">
        <v>114</v>
      </c>
      <c r="F8" s="12">
        <v>9.39</v>
      </c>
      <c r="G8" s="12">
        <f>TabelaControleFrigobar[[#This Row],[Preço Unitário de Custo]]*1.5</f>
        <v>14.085000000000001</v>
      </c>
      <c r="H8" s="13">
        <v>0</v>
      </c>
      <c r="I8" s="14">
        <f>TabelaControleFrigobar[[#This Row],[Preço Unitário de Custo]]*H8</f>
        <v>0</v>
      </c>
      <c r="J8" s="14">
        <f>TabelaControleFrigobar[[#This Row],[Preço Unitário de de Venda]]*B8</f>
        <v>28.17</v>
      </c>
      <c r="K8" s="15"/>
      <c r="L8" s="15"/>
    </row>
    <row r="9" spans="1:12">
      <c r="A9" s="16">
        <v>0</v>
      </c>
      <c r="B9" s="16">
        <v>4</v>
      </c>
      <c r="C9" s="10" t="s">
        <v>8</v>
      </c>
      <c r="D9" s="11" t="s">
        <v>113</v>
      </c>
      <c r="E9" s="10" t="s">
        <v>114</v>
      </c>
      <c r="F9" s="12">
        <v>9.39</v>
      </c>
      <c r="G9" s="12">
        <f>TabelaControleFrigobar[[#This Row],[Preço Unitário de Custo]]*1.5</f>
        <v>14.085000000000001</v>
      </c>
      <c r="H9" s="13">
        <v>0</v>
      </c>
      <c r="I9" s="14">
        <f>TabelaControleFrigobar[[#This Row],[Preço Unitário de Custo]]*H9</f>
        <v>0</v>
      </c>
      <c r="J9" s="14">
        <f>TabelaControleFrigobar[[#This Row],[Preço Unitário de de Venda]]*B9</f>
        <v>56.34</v>
      </c>
      <c r="K9" s="14"/>
      <c r="L9" s="14"/>
    </row>
    <row r="10" spans="1:12">
      <c r="A10" s="9">
        <v>2</v>
      </c>
      <c r="B10" s="9">
        <v>5</v>
      </c>
      <c r="C10" s="10" t="s">
        <v>9</v>
      </c>
      <c r="D10" s="11" t="s">
        <v>16</v>
      </c>
      <c r="E10" s="10" t="s">
        <v>115</v>
      </c>
      <c r="F10" s="12">
        <v>3.99</v>
      </c>
      <c r="G10" s="12">
        <f>TabelaControleFrigobar[[#This Row],[Preço Unitário de Custo]]*1.5</f>
        <v>5.9850000000000003</v>
      </c>
      <c r="H10" s="13">
        <v>0</v>
      </c>
      <c r="I10" s="14">
        <f>TabelaControleFrigobar[[#This Row],[Preço Unitário de Custo]]*H10</f>
        <v>0</v>
      </c>
      <c r="J10" s="14">
        <f>TabelaControleFrigobar[[#This Row],[Preço Unitário de de Venda]]*B10</f>
        <v>29.925000000000001</v>
      </c>
      <c r="K10" s="15"/>
      <c r="L10" s="15"/>
    </row>
    <row r="11" spans="1:12">
      <c r="A11" s="16">
        <v>0</v>
      </c>
      <c r="B11" s="16">
        <v>5</v>
      </c>
      <c r="C11" s="10" t="s">
        <v>10</v>
      </c>
      <c r="D11" s="11" t="s">
        <v>15</v>
      </c>
      <c r="E11" s="10" t="s">
        <v>115</v>
      </c>
      <c r="F11" s="12">
        <v>3.99</v>
      </c>
      <c r="G11" s="12">
        <f>TabelaControleFrigobar[[#This Row],[Preço Unitário de Custo]]*1.5</f>
        <v>5.9850000000000003</v>
      </c>
      <c r="H11" s="13">
        <v>0</v>
      </c>
      <c r="I11" s="14">
        <f>TabelaControleFrigobar[[#This Row],[Preço Unitário de Custo]]*H11</f>
        <v>0</v>
      </c>
      <c r="J11" s="14">
        <f>TabelaControleFrigobar[[#This Row],[Preço Unitário de de Venda]]*B11</f>
        <v>29.925000000000001</v>
      </c>
      <c r="K11" s="14"/>
      <c r="L11" s="14"/>
    </row>
    <row r="12" spans="1:12">
      <c r="A12" s="9">
        <v>0</v>
      </c>
      <c r="B12" s="9">
        <v>3</v>
      </c>
      <c r="C12" s="10" t="s">
        <v>11</v>
      </c>
      <c r="D12" s="11" t="s">
        <v>110</v>
      </c>
      <c r="E12" s="10" t="s">
        <v>115</v>
      </c>
      <c r="F12" s="12">
        <v>14.69</v>
      </c>
      <c r="G12" s="12">
        <f>TabelaControleFrigobar[[#This Row],[Preço Unitário de Custo]]*1.5</f>
        <v>22.035</v>
      </c>
      <c r="H12" s="13">
        <v>0</v>
      </c>
      <c r="I12" s="14">
        <f>TabelaControleFrigobar[[#This Row],[Preço Unitário de Custo]]*H12</f>
        <v>0</v>
      </c>
      <c r="J12" s="14">
        <f>TabelaControleFrigobar[[#This Row],[Preço Unitário de de Venda]]*B12</f>
        <v>66.105000000000004</v>
      </c>
      <c r="K12" s="15"/>
      <c r="L12" s="15"/>
    </row>
    <row r="13" spans="1:12">
      <c r="A13" s="16">
        <v>0</v>
      </c>
      <c r="B13" s="16">
        <v>3</v>
      </c>
      <c r="C13" s="10" t="s">
        <v>13</v>
      </c>
      <c r="D13" s="11" t="s">
        <v>15</v>
      </c>
      <c r="E13" s="10" t="s">
        <v>115</v>
      </c>
      <c r="F13" s="12">
        <v>14.69</v>
      </c>
      <c r="G13" s="12">
        <f>TabelaControleFrigobar[[#This Row],[Preço Unitário de Custo]]*1.5</f>
        <v>22.035</v>
      </c>
      <c r="H13" s="13">
        <v>0</v>
      </c>
      <c r="I13" s="14">
        <f>TabelaControleFrigobar[[#This Row],[Preço Unitário de Custo]]*H13</f>
        <v>0</v>
      </c>
      <c r="J13" s="14">
        <f>TabelaControleFrigobar[[#This Row],[Preço Unitário de de Venda]]*B13</f>
        <v>66.105000000000004</v>
      </c>
      <c r="K13" s="14"/>
      <c r="L13" s="14"/>
    </row>
    <row r="14" spans="1:12">
      <c r="A14" s="9">
        <v>9</v>
      </c>
      <c r="B14" s="9">
        <v>3</v>
      </c>
      <c r="C14" s="10" t="s">
        <v>14</v>
      </c>
      <c r="D14" s="11" t="s">
        <v>111</v>
      </c>
      <c r="E14" s="10" t="s">
        <v>114</v>
      </c>
      <c r="F14" s="12">
        <v>3.2</v>
      </c>
      <c r="G14" s="12">
        <f>TabelaControleFrigobar[[#This Row],[Preço Unitário de Custo]]*1.5</f>
        <v>4.8000000000000007</v>
      </c>
      <c r="H14" s="13">
        <v>0</v>
      </c>
      <c r="I14" s="14">
        <f>TabelaControleFrigobar[[#This Row],[Preço Unitário de Custo]]*H14</f>
        <v>0</v>
      </c>
      <c r="J14" s="14">
        <f>TabelaControleFrigobar[[#This Row],[Preço Unitário de de Venda]]*B14</f>
        <v>14.400000000000002</v>
      </c>
      <c r="K14" s="15"/>
      <c r="L14" s="15"/>
    </row>
    <row r="15" spans="1:12">
      <c r="A15" s="16">
        <v>9</v>
      </c>
      <c r="B15" s="16">
        <v>3</v>
      </c>
      <c r="C15" s="10" t="s">
        <v>17</v>
      </c>
      <c r="D15" s="11" t="s">
        <v>112</v>
      </c>
      <c r="E15" s="10" t="s">
        <v>114</v>
      </c>
      <c r="F15" s="12">
        <v>3.2</v>
      </c>
      <c r="G15" s="12">
        <f>TabelaControleFrigobar[[#This Row],[Preço Unitário de Custo]]*1.5</f>
        <v>4.8000000000000007</v>
      </c>
      <c r="H15" s="13">
        <v>0</v>
      </c>
      <c r="I15" s="14">
        <f>TabelaControleFrigobar[[#This Row],[Preço Unitário de Custo]]*H15</f>
        <v>0</v>
      </c>
      <c r="J15" s="14">
        <f>TabelaControleFrigobar[[#This Row],[Preço Unitário de de Venda]]*B15</f>
        <v>14.400000000000002</v>
      </c>
      <c r="K15" s="14"/>
      <c r="L15" s="14"/>
    </row>
    <row r="16" spans="1:12" hidden="1">
      <c r="C16" s="1" t="s">
        <v>18</v>
      </c>
      <c r="D16" s="2"/>
      <c r="E16" s="1"/>
      <c r="F16" s="3"/>
      <c r="G16" s="3"/>
      <c r="H16" s="3"/>
      <c r="I16" s="4"/>
      <c r="J16" s="4"/>
    </row>
    <row r="17" spans="3:10" hidden="1">
      <c r="C17" s="1" t="s">
        <v>19</v>
      </c>
      <c r="D17" s="2"/>
      <c r="E17" s="1"/>
      <c r="F17" s="3"/>
      <c r="G17" s="3"/>
      <c r="H17" s="3"/>
      <c r="I17" s="4"/>
      <c r="J17" s="4"/>
    </row>
    <row r="18" spans="3:10" hidden="1">
      <c r="C18" s="1" t="s">
        <v>20</v>
      </c>
      <c r="D18" s="2"/>
      <c r="E18" s="1"/>
      <c r="F18" s="3"/>
      <c r="G18" s="3"/>
      <c r="H18" s="3"/>
      <c r="I18" s="4"/>
      <c r="J18" s="4"/>
    </row>
    <row r="19" spans="3:10" hidden="1">
      <c r="C19" s="1" t="s">
        <v>21</v>
      </c>
      <c r="D19" s="2"/>
      <c r="E19" s="1"/>
      <c r="F19" s="3"/>
      <c r="G19" s="3"/>
      <c r="H19" s="3"/>
      <c r="I19" s="4"/>
      <c r="J19" s="4"/>
    </row>
    <row r="20" spans="3:10" hidden="1">
      <c r="C20" s="1" t="s">
        <v>22</v>
      </c>
      <c r="D20" s="2"/>
      <c r="E20" s="1"/>
      <c r="F20" s="3"/>
      <c r="G20" s="3"/>
      <c r="H20" s="3"/>
      <c r="I20" s="4"/>
      <c r="J20" s="4"/>
    </row>
    <row r="21" spans="3:10" hidden="1">
      <c r="C21" s="1" t="s">
        <v>23</v>
      </c>
      <c r="D21" s="2"/>
      <c r="E21" s="1"/>
      <c r="F21" s="3"/>
      <c r="G21" s="3"/>
      <c r="H21" s="3"/>
      <c r="I21" s="4"/>
      <c r="J21" s="4"/>
    </row>
    <row r="22" spans="3:10" hidden="1">
      <c r="C22" s="1" t="s">
        <v>24</v>
      </c>
      <c r="D22" s="2"/>
      <c r="E22" s="1"/>
      <c r="F22" s="3">
        <v>0</v>
      </c>
      <c r="G22" s="3">
        <v>0</v>
      </c>
      <c r="H22" s="3"/>
      <c r="I22" s="4">
        <v>0</v>
      </c>
      <c r="J22" s="4">
        <v>0</v>
      </c>
    </row>
    <row r="23" spans="3:10" hidden="1">
      <c r="C23" s="1" t="s">
        <v>25</v>
      </c>
      <c r="D23" s="2"/>
      <c r="E23" s="1"/>
      <c r="F23" s="3">
        <v>0</v>
      </c>
      <c r="G23" s="3">
        <v>0</v>
      </c>
      <c r="H23" s="3"/>
      <c r="I23" s="4">
        <v>0</v>
      </c>
      <c r="J23" s="4">
        <v>0</v>
      </c>
    </row>
    <row r="24" spans="3:10" hidden="1">
      <c r="C24" s="1" t="s">
        <v>26</v>
      </c>
      <c r="D24" s="2"/>
      <c r="E24" s="1"/>
      <c r="F24" s="3">
        <v>0</v>
      </c>
      <c r="G24" s="3">
        <v>0</v>
      </c>
      <c r="H24" s="3"/>
      <c r="I24" s="4">
        <v>0</v>
      </c>
      <c r="J24" s="4">
        <v>0</v>
      </c>
    </row>
    <row r="25" spans="3:10" hidden="1">
      <c r="C25" s="1" t="s">
        <v>27</v>
      </c>
      <c r="D25" s="2"/>
      <c r="E25" s="1"/>
      <c r="F25" s="3">
        <v>0</v>
      </c>
      <c r="G25" s="3">
        <v>0</v>
      </c>
      <c r="H25" s="3"/>
      <c r="I25" s="4">
        <v>0</v>
      </c>
      <c r="J25" s="4">
        <v>0</v>
      </c>
    </row>
    <row r="26" spans="3:10" hidden="1">
      <c r="C26" s="1" t="s">
        <v>28</v>
      </c>
      <c r="D26" s="2"/>
      <c r="E26" s="1"/>
      <c r="F26" s="3">
        <v>0</v>
      </c>
      <c r="G26" s="3">
        <v>0</v>
      </c>
      <c r="H26" s="3"/>
      <c r="I26" s="4">
        <v>0</v>
      </c>
      <c r="J26" s="4">
        <v>0</v>
      </c>
    </row>
    <row r="27" spans="3:10" hidden="1">
      <c r="C27" s="1" t="s">
        <v>29</v>
      </c>
      <c r="D27" s="2"/>
      <c r="E27" s="1"/>
      <c r="F27" s="3">
        <v>0</v>
      </c>
      <c r="G27" s="3">
        <v>0</v>
      </c>
      <c r="H27" s="3"/>
      <c r="I27" s="4">
        <v>0</v>
      </c>
      <c r="J27" s="4">
        <v>0</v>
      </c>
    </row>
    <row r="28" spans="3:10" hidden="1">
      <c r="C28" s="1" t="s">
        <v>30</v>
      </c>
      <c r="D28" s="2"/>
      <c r="E28" s="1"/>
      <c r="F28" s="3">
        <v>0</v>
      </c>
      <c r="G28" s="3">
        <v>0</v>
      </c>
      <c r="H28" s="3"/>
      <c r="I28" s="4">
        <v>0</v>
      </c>
      <c r="J28" s="4">
        <v>0</v>
      </c>
    </row>
    <row r="29" spans="3:10" hidden="1">
      <c r="C29" s="1" t="s">
        <v>31</v>
      </c>
      <c r="D29" s="2"/>
      <c r="E29" s="1"/>
      <c r="F29" s="3">
        <v>0</v>
      </c>
      <c r="G29" s="3">
        <v>0</v>
      </c>
      <c r="H29" s="3"/>
      <c r="I29" s="4">
        <v>0</v>
      </c>
      <c r="J29" s="4">
        <v>0</v>
      </c>
    </row>
    <row r="30" spans="3:10" hidden="1">
      <c r="C30" s="1" t="s">
        <v>32</v>
      </c>
      <c r="D30" s="2"/>
      <c r="E30" s="1"/>
      <c r="F30" s="3">
        <v>0</v>
      </c>
      <c r="G30" s="3">
        <v>0</v>
      </c>
      <c r="H30" s="3"/>
      <c r="I30" s="4">
        <v>0</v>
      </c>
      <c r="J30" s="4">
        <v>0</v>
      </c>
    </row>
    <row r="31" spans="3:10" hidden="1">
      <c r="C31" s="1" t="s">
        <v>33</v>
      </c>
      <c r="D31" s="2"/>
      <c r="E31" s="1"/>
      <c r="F31" s="3">
        <v>0</v>
      </c>
      <c r="G31" s="3">
        <v>0</v>
      </c>
      <c r="H31" s="3"/>
      <c r="I31" s="4">
        <v>0</v>
      </c>
      <c r="J31" s="4">
        <v>0</v>
      </c>
    </row>
    <row r="32" spans="3:10" hidden="1">
      <c r="C32" s="1" t="s">
        <v>34</v>
      </c>
      <c r="D32" s="2"/>
      <c r="E32" s="1"/>
      <c r="F32" s="3">
        <v>0</v>
      </c>
      <c r="G32" s="3">
        <v>0</v>
      </c>
      <c r="H32" s="3"/>
      <c r="I32" s="4">
        <v>0</v>
      </c>
      <c r="J32" s="4">
        <v>0</v>
      </c>
    </row>
    <row r="33" spans="3:10" hidden="1">
      <c r="C33" s="1" t="s">
        <v>35</v>
      </c>
      <c r="D33" s="2"/>
      <c r="E33" s="1"/>
      <c r="F33" s="3">
        <v>0</v>
      </c>
      <c r="G33" s="3">
        <v>0</v>
      </c>
      <c r="H33" s="3"/>
      <c r="I33" s="4">
        <v>0</v>
      </c>
      <c r="J33" s="4">
        <v>0</v>
      </c>
    </row>
    <row r="34" spans="3:10" hidden="1">
      <c r="C34" s="1" t="s">
        <v>36</v>
      </c>
      <c r="D34" s="2"/>
      <c r="E34" s="1"/>
      <c r="F34" s="3">
        <v>0</v>
      </c>
      <c r="G34" s="3">
        <v>0</v>
      </c>
      <c r="H34" s="3"/>
      <c r="I34" s="4">
        <v>0</v>
      </c>
      <c r="J34" s="4">
        <v>0</v>
      </c>
    </row>
    <row r="35" spans="3:10" hidden="1">
      <c r="C35" s="1" t="s">
        <v>37</v>
      </c>
      <c r="D35" s="2"/>
      <c r="E35" s="1"/>
      <c r="F35" s="3">
        <v>0</v>
      </c>
      <c r="G35" s="3">
        <v>0</v>
      </c>
      <c r="H35" s="3"/>
      <c r="I35" s="4">
        <v>0</v>
      </c>
      <c r="J35" s="4">
        <v>0</v>
      </c>
    </row>
    <row r="36" spans="3:10" hidden="1">
      <c r="C36" s="1" t="s">
        <v>38</v>
      </c>
      <c r="D36" s="2"/>
      <c r="E36" s="1"/>
      <c r="F36" s="3">
        <v>0</v>
      </c>
      <c r="G36" s="3">
        <v>0</v>
      </c>
      <c r="H36" s="3"/>
      <c r="I36" s="4">
        <v>0</v>
      </c>
      <c r="J36" s="4">
        <v>0</v>
      </c>
    </row>
    <row r="37" spans="3:10" hidden="1">
      <c r="C37" s="1" t="s">
        <v>39</v>
      </c>
      <c r="D37" s="2"/>
      <c r="E37" s="1"/>
      <c r="F37" s="3">
        <v>0</v>
      </c>
      <c r="G37" s="3">
        <v>0</v>
      </c>
      <c r="H37" s="3"/>
      <c r="I37" s="4">
        <v>0</v>
      </c>
      <c r="J37" s="4">
        <v>0</v>
      </c>
    </row>
    <row r="38" spans="3:10" hidden="1">
      <c r="C38" s="1" t="s">
        <v>40</v>
      </c>
      <c r="D38" s="2"/>
      <c r="E38" s="1"/>
      <c r="F38" s="3">
        <v>0</v>
      </c>
      <c r="G38" s="3">
        <v>0</v>
      </c>
      <c r="H38" s="3"/>
      <c r="I38" s="4">
        <v>0</v>
      </c>
      <c r="J38" s="4">
        <v>0</v>
      </c>
    </row>
    <row r="39" spans="3:10" hidden="1">
      <c r="C39" s="1" t="s">
        <v>41</v>
      </c>
      <c r="D39" s="2"/>
      <c r="E39" s="1"/>
      <c r="F39" s="3">
        <v>0</v>
      </c>
      <c r="G39" s="3">
        <v>0</v>
      </c>
      <c r="H39" s="3"/>
      <c r="I39" s="4">
        <v>0</v>
      </c>
      <c r="J39" s="4">
        <v>0</v>
      </c>
    </row>
    <row r="40" spans="3:10" hidden="1">
      <c r="C40" s="1" t="s">
        <v>42</v>
      </c>
      <c r="D40" s="2"/>
      <c r="E40" s="1"/>
      <c r="F40" s="3">
        <v>0</v>
      </c>
      <c r="G40" s="3">
        <v>0</v>
      </c>
      <c r="H40" s="3"/>
      <c r="I40" s="4">
        <v>0</v>
      </c>
      <c r="J40" s="4">
        <v>0</v>
      </c>
    </row>
    <row r="41" spans="3:10" hidden="1">
      <c r="C41" s="1" t="s">
        <v>43</v>
      </c>
      <c r="D41" s="2"/>
      <c r="E41" s="1"/>
      <c r="F41" s="3">
        <v>0</v>
      </c>
      <c r="G41" s="3">
        <v>0</v>
      </c>
      <c r="H41" s="3"/>
      <c r="I41" s="4">
        <v>0</v>
      </c>
      <c r="J41" s="4">
        <v>0</v>
      </c>
    </row>
    <row r="42" spans="3:10" hidden="1">
      <c r="C42" s="1" t="s">
        <v>44</v>
      </c>
      <c r="D42" s="2"/>
      <c r="E42" s="1"/>
      <c r="F42" s="3">
        <v>0</v>
      </c>
      <c r="G42" s="3">
        <v>0</v>
      </c>
      <c r="H42" s="3"/>
      <c r="I42" s="4">
        <v>0</v>
      </c>
      <c r="J42" s="4">
        <v>0</v>
      </c>
    </row>
    <row r="43" spans="3:10" hidden="1">
      <c r="C43" s="1" t="s">
        <v>45</v>
      </c>
      <c r="D43" s="2"/>
      <c r="E43" s="1"/>
      <c r="F43" s="3">
        <v>0</v>
      </c>
      <c r="G43" s="3">
        <v>0</v>
      </c>
      <c r="H43" s="3"/>
      <c r="I43" s="4">
        <v>0</v>
      </c>
      <c r="J43" s="4">
        <v>0</v>
      </c>
    </row>
    <row r="44" spans="3:10" hidden="1">
      <c r="C44" s="1" t="s">
        <v>46</v>
      </c>
      <c r="D44" s="2"/>
      <c r="E44" s="1"/>
      <c r="F44" s="3">
        <v>0</v>
      </c>
      <c r="G44" s="3">
        <v>0</v>
      </c>
      <c r="H44" s="3"/>
      <c r="I44" s="4">
        <v>0</v>
      </c>
      <c r="J44" s="4">
        <v>0</v>
      </c>
    </row>
    <row r="45" spans="3:10" hidden="1">
      <c r="C45" s="1" t="s">
        <v>47</v>
      </c>
      <c r="D45" s="2"/>
      <c r="E45" s="1"/>
      <c r="F45" s="3">
        <v>0</v>
      </c>
      <c r="G45" s="3">
        <v>0</v>
      </c>
      <c r="H45" s="3"/>
      <c r="I45" s="4">
        <v>0</v>
      </c>
      <c r="J45" s="4">
        <v>0</v>
      </c>
    </row>
    <row r="46" spans="3:10" hidden="1">
      <c r="C46" s="1" t="s">
        <v>48</v>
      </c>
      <c r="D46" s="2"/>
      <c r="E46" s="1"/>
      <c r="F46" s="3">
        <v>0</v>
      </c>
      <c r="G46" s="3">
        <v>0</v>
      </c>
      <c r="H46" s="3"/>
      <c r="I46" s="4">
        <v>0</v>
      </c>
      <c r="J46" s="4">
        <v>0</v>
      </c>
    </row>
    <row r="47" spans="3:10" hidden="1">
      <c r="C47" s="1" t="s">
        <v>49</v>
      </c>
      <c r="D47" s="2"/>
      <c r="E47" s="1"/>
      <c r="F47" s="3">
        <v>0</v>
      </c>
      <c r="G47" s="3">
        <v>0</v>
      </c>
      <c r="H47" s="3"/>
      <c r="I47" s="4">
        <v>0</v>
      </c>
      <c r="J47" s="4">
        <v>0</v>
      </c>
    </row>
    <row r="48" spans="3:10" hidden="1">
      <c r="C48" s="1" t="s">
        <v>50</v>
      </c>
      <c r="D48" s="2"/>
      <c r="E48" s="1"/>
      <c r="F48" s="3">
        <v>0</v>
      </c>
      <c r="G48" s="3">
        <v>0</v>
      </c>
      <c r="H48" s="3"/>
      <c r="I48" s="4">
        <v>0</v>
      </c>
      <c r="J48" s="4">
        <v>0</v>
      </c>
    </row>
    <row r="49" spans="3:10" hidden="1">
      <c r="C49" s="1" t="s">
        <v>51</v>
      </c>
      <c r="D49" s="2"/>
      <c r="E49" s="1"/>
      <c r="F49" s="3">
        <v>0</v>
      </c>
      <c r="G49" s="3">
        <v>0</v>
      </c>
      <c r="H49" s="3"/>
      <c r="I49" s="4">
        <v>0</v>
      </c>
      <c r="J49" s="4">
        <v>0</v>
      </c>
    </row>
    <row r="50" spans="3:10" hidden="1">
      <c r="C50" s="1" t="s">
        <v>52</v>
      </c>
      <c r="D50" s="2"/>
      <c r="E50" s="1"/>
      <c r="F50" s="3">
        <v>0</v>
      </c>
      <c r="G50" s="3">
        <v>0</v>
      </c>
      <c r="H50" s="3"/>
      <c r="I50" s="4">
        <v>0</v>
      </c>
      <c r="J50" s="4">
        <v>0</v>
      </c>
    </row>
    <row r="51" spans="3:10" hidden="1">
      <c r="C51" s="1" t="s">
        <v>53</v>
      </c>
      <c r="D51" s="2"/>
      <c r="E51" s="1"/>
      <c r="F51" s="3">
        <v>0</v>
      </c>
      <c r="G51" s="3">
        <v>0</v>
      </c>
      <c r="H51" s="3"/>
      <c r="I51" s="4">
        <v>0</v>
      </c>
      <c r="J51" s="4">
        <v>0</v>
      </c>
    </row>
    <row r="52" spans="3:10" hidden="1">
      <c r="C52" s="1" t="s">
        <v>54</v>
      </c>
      <c r="D52" s="2"/>
      <c r="E52" s="1"/>
      <c r="F52" s="3">
        <v>0</v>
      </c>
      <c r="G52" s="3">
        <v>0</v>
      </c>
      <c r="H52" s="3"/>
      <c r="I52" s="4">
        <v>0</v>
      </c>
      <c r="J52" s="4">
        <v>0</v>
      </c>
    </row>
    <row r="53" spans="3:10" hidden="1">
      <c r="C53" s="1" t="s">
        <v>55</v>
      </c>
      <c r="D53" s="2"/>
      <c r="E53" s="1"/>
      <c r="F53" s="3">
        <v>0</v>
      </c>
      <c r="G53" s="3">
        <v>0</v>
      </c>
      <c r="H53" s="3"/>
      <c r="I53" s="4">
        <v>0</v>
      </c>
      <c r="J53" s="4">
        <v>0</v>
      </c>
    </row>
    <row r="54" spans="3:10" hidden="1">
      <c r="C54" s="1" t="s">
        <v>56</v>
      </c>
      <c r="D54" s="2"/>
      <c r="E54" s="1"/>
      <c r="F54" s="3">
        <v>0</v>
      </c>
      <c r="G54" s="3">
        <v>0</v>
      </c>
      <c r="H54" s="3"/>
      <c r="I54" s="4">
        <v>0</v>
      </c>
      <c r="J54" s="4">
        <v>0</v>
      </c>
    </row>
    <row r="55" spans="3:10" hidden="1">
      <c r="C55" s="1" t="s">
        <v>57</v>
      </c>
      <c r="D55" s="2"/>
      <c r="E55" s="1"/>
      <c r="F55" s="3">
        <v>0</v>
      </c>
      <c r="G55" s="3">
        <v>0</v>
      </c>
      <c r="H55" s="3"/>
      <c r="I55" s="4">
        <v>0</v>
      </c>
      <c r="J55" s="4">
        <v>0</v>
      </c>
    </row>
    <row r="56" spans="3:10" hidden="1">
      <c r="C56" s="1" t="s">
        <v>58</v>
      </c>
      <c r="D56" s="2"/>
      <c r="E56" s="1"/>
      <c r="F56" s="3">
        <v>0</v>
      </c>
      <c r="G56" s="3">
        <v>0</v>
      </c>
      <c r="H56" s="3"/>
      <c r="I56" s="4">
        <v>0</v>
      </c>
      <c r="J56" s="4">
        <v>0</v>
      </c>
    </row>
    <row r="57" spans="3:10" hidden="1">
      <c r="C57" s="1" t="s">
        <v>59</v>
      </c>
      <c r="D57" s="2"/>
      <c r="E57" s="1"/>
      <c r="F57" s="3">
        <v>0</v>
      </c>
      <c r="G57" s="3">
        <v>0</v>
      </c>
      <c r="H57" s="3"/>
      <c r="I57" s="4">
        <v>0</v>
      </c>
      <c r="J57" s="4">
        <v>0</v>
      </c>
    </row>
    <row r="58" spans="3:10" hidden="1">
      <c r="C58" s="1" t="s">
        <v>60</v>
      </c>
      <c r="D58" s="2"/>
      <c r="E58" s="1"/>
      <c r="F58" s="3">
        <v>0</v>
      </c>
      <c r="G58" s="3">
        <v>0</v>
      </c>
      <c r="H58" s="3"/>
      <c r="I58" s="4">
        <v>0</v>
      </c>
      <c r="J58" s="4">
        <v>0</v>
      </c>
    </row>
    <row r="59" spans="3:10" hidden="1">
      <c r="C59" s="1" t="s">
        <v>61</v>
      </c>
      <c r="D59" s="2"/>
      <c r="E59" s="1"/>
      <c r="F59" s="3">
        <v>0</v>
      </c>
      <c r="G59" s="3">
        <v>0</v>
      </c>
      <c r="H59" s="3"/>
      <c r="I59" s="4">
        <v>0</v>
      </c>
      <c r="J59" s="4">
        <v>0</v>
      </c>
    </row>
    <row r="60" spans="3:10" hidden="1">
      <c r="C60" s="1" t="s">
        <v>62</v>
      </c>
      <c r="D60" s="2"/>
      <c r="E60" s="1"/>
      <c r="F60" s="3">
        <v>0</v>
      </c>
      <c r="G60" s="3">
        <v>0</v>
      </c>
      <c r="H60" s="3"/>
      <c r="I60" s="4">
        <v>0</v>
      </c>
      <c r="J60" s="4">
        <v>0</v>
      </c>
    </row>
    <row r="61" spans="3:10" hidden="1">
      <c r="C61" s="1" t="s">
        <v>63</v>
      </c>
      <c r="D61" s="2"/>
      <c r="E61" s="1"/>
      <c r="F61" s="3">
        <v>0</v>
      </c>
      <c r="G61" s="3">
        <v>0</v>
      </c>
      <c r="H61" s="3"/>
      <c r="I61" s="4">
        <v>0</v>
      </c>
      <c r="J61" s="4">
        <v>0</v>
      </c>
    </row>
    <row r="62" spans="3:10" hidden="1">
      <c r="C62" s="1" t="s">
        <v>64</v>
      </c>
      <c r="D62" s="2"/>
      <c r="E62" s="1"/>
      <c r="F62" s="3">
        <v>0</v>
      </c>
      <c r="G62" s="3">
        <v>0</v>
      </c>
      <c r="H62" s="3"/>
      <c r="I62" s="4">
        <v>0</v>
      </c>
      <c r="J62" s="4">
        <v>0</v>
      </c>
    </row>
    <row r="63" spans="3:10" hidden="1">
      <c r="C63" s="1" t="s">
        <v>65</v>
      </c>
      <c r="D63" s="2"/>
      <c r="E63" s="1"/>
      <c r="F63" s="3">
        <v>0</v>
      </c>
      <c r="G63" s="3">
        <v>0</v>
      </c>
      <c r="H63" s="3"/>
      <c r="I63" s="4">
        <v>0</v>
      </c>
      <c r="J63" s="4">
        <v>0</v>
      </c>
    </row>
    <row r="64" spans="3:10" hidden="1">
      <c r="C64" s="1" t="s">
        <v>66</v>
      </c>
      <c r="D64" s="2"/>
      <c r="E64" s="1"/>
      <c r="F64" s="3">
        <v>0</v>
      </c>
      <c r="G64" s="3">
        <v>0</v>
      </c>
      <c r="H64" s="3"/>
      <c r="I64" s="4">
        <v>0</v>
      </c>
      <c r="J64" s="4">
        <v>0</v>
      </c>
    </row>
    <row r="65" spans="3:10" hidden="1">
      <c r="C65" s="1" t="s">
        <v>67</v>
      </c>
      <c r="D65" s="2"/>
      <c r="E65" s="1"/>
      <c r="F65" s="3">
        <v>0</v>
      </c>
      <c r="G65" s="3">
        <v>0</v>
      </c>
      <c r="H65" s="3"/>
      <c r="I65" s="4">
        <v>0</v>
      </c>
      <c r="J65" s="4">
        <v>0</v>
      </c>
    </row>
    <row r="66" spans="3:10" hidden="1">
      <c r="C66" s="1" t="s">
        <v>68</v>
      </c>
      <c r="D66" s="2"/>
      <c r="E66" s="1"/>
      <c r="F66" s="3">
        <v>0</v>
      </c>
      <c r="G66" s="3">
        <v>0</v>
      </c>
      <c r="H66" s="3"/>
      <c r="I66" s="4">
        <v>0</v>
      </c>
      <c r="J66" s="4">
        <v>0</v>
      </c>
    </row>
    <row r="67" spans="3:10" hidden="1">
      <c r="C67" s="1" t="s">
        <v>69</v>
      </c>
      <c r="D67" s="2"/>
      <c r="E67" s="1"/>
      <c r="F67" s="3">
        <v>0</v>
      </c>
      <c r="G67" s="3">
        <v>0</v>
      </c>
      <c r="H67" s="3"/>
      <c r="I67" s="4">
        <v>0</v>
      </c>
      <c r="J67" s="4">
        <v>0</v>
      </c>
    </row>
    <row r="68" spans="3:10" hidden="1">
      <c r="C68" s="1" t="s">
        <v>70</v>
      </c>
      <c r="D68" s="2"/>
      <c r="E68" s="1"/>
      <c r="F68" s="3">
        <v>0</v>
      </c>
      <c r="G68" s="3">
        <v>0</v>
      </c>
      <c r="H68" s="3"/>
      <c r="I68" s="4">
        <v>0</v>
      </c>
      <c r="J68" s="4">
        <v>0</v>
      </c>
    </row>
    <row r="69" spans="3:10" hidden="1">
      <c r="C69" s="1" t="s">
        <v>71</v>
      </c>
      <c r="D69" s="2"/>
      <c r="E69" s="1"/>
      <c r="F69" s="3">
        <v>0</v>
      </c>
      <c r="G69" s="3">
        <v>0</v>
      </c>
      <c r="H69" s="3"/>
      <c r="I69" s="4">
        <v>0</v>
      </c>
      <c r="J69" s="4">
        <v>0</v>
      </c>
    </row>
    <row r="70" spans="3:10" hidden="1">
      <c r="C70" s="1" t="s">
        <v>72</v>
      </c>
      <c r="D70" s="2"/>
      <c r="E70" s="1"/>
      <c r="F70" s="3">
        <v>0</v>
      </c>
      <c r="G70" s="3">
        <v>0</v>
      </c>
      <c r="H70" s="3"/>
      <c r="I70" s="4">
        <v>0</v>
      </c>
      <c r="J70" s="4">
        <v>0</v>
      </c>
    </row>
    <row r="71" spans="3:10" hidden="1">
      <c r="C71" s="1" t="s">
        <v>73</v>
      </c>
      <c r="D71" s="2"/>
      <c r="E71" s="1"/>
      <c r="F71" s="3">
        <v>0</v>
      </c>
      <c r="G71" s="3">
        <v>0</v>
      </c>
      <c r="H71" s="3"/>
      <c r="I71" s="4">
        <v>0</v>
      </c>
      <c r="J71" s="4">
        <v>0</v>
      </c>
    </row>
    <row r="72" spans="3:10" hidden="1">
      <c r="C72" s="1" t="s">
        <v>74</v>
      </c>
      <c r="D72" s="2"/>
      <c r="E72" s="1"/>
      <c r="F72" s="3">
        <v>0</v>
      </c>
      <c r="G72" s="3">
        <v>0</v>
      </c>
      <c r="H72" s="3"/>
      <c r="I72" s="4">
        <v>0</v>
      </c>
      <c r="J72" s="4">
        <v>0</v>
      </c>
    </row>
    <row r="73" spans="3:10" hidden="1">
      <c r="C73" s="1" t="s">
        <v>75</v>
      </c>
      <c r="D73" s="2"/>
      <c r="E73" s="1"/>
      <c r="F73" s="3">
        <v>0</v>
      </c>
      <c r="G73" s="3">
        <v>0</v>
      </c>
      <c r="H73" s="3"/>
      <c r="I73" s="4">
        <v>0</v>
      </c>
      <c r="J73" s="4">
        <v>0</v>
      </c>
    </row>
    <row r="74" spans="3:10" hidden="1">
      <c r="C74" s="1" t="s">
        <v>76</v>
      </c>
      <c r="D74" s="2"/>
      <c r="E74" s="1"/>
      <c r="F74" s="3">
        <v>0</v>
      </c>
      <c r="G74" s="3">
        <v>0</v>
      </c>
      <c r="H74" s="3"/>
      <c r="I74" s="4">
        <v>0</v>
      </c>
      <c r="J74" s="4">
        <v>0</v>
      </c>
    </row>
    <row r="75" spans="3:10" hidden="1">
      <c r="C75" s="1" t="s">
        <v>77</v>
      </c>
      <c r="D75" s="2"/>
      <c r="E75" s="1"/>
      <c r="F75" s="3">
        <v>0</v>
      </c>
      <c r="G75" s="3">
        <v>0</v>
      </c>
      <c r="H75" s="3"/>
      <c r="I75" s="4">
        <v>0</v>
      </c>
      <c r="J75" s="4">
        <v>0</v>
      </c>
    </row>
    <row r="76" spans="3:10" hidden="1">
      <c r="C76" s="1" t="s">
        <v>78</v>
      </c>
      <c r="D76" s="2"/>
      <c r="E76" s="1"/>
      <c r="F76" s="3">
        <v>0</v>
      </c>
      <c r="G76" s="3">
        <v>0</v>
      </c>
      <c r="H76" s="3"/>
      <c r="I76" s="4">
        <v>0</v>
      </c>
      <c r="J76" s="4">
        <v>0</v>
      </c>
    </row>
    <row r="77" spans="3:10" hidden="1">
      <c r="C77" s="1" t="s">
        <v>79</v>
      </c>
      <c r="D77" s="2"/>
      <c r="E77" s="1"/>
      <c r="F77" s="3">
        <v>0</v>
      </c>
      <c r="G77" s="3">
        <v>0</v>
      </c>
      <c r="H77" s="3"/>
      <c r="I77" s="4">
        <v>0</v>
      </c>
      <c r="J77" s="4">
        <v>0</v>
      </c>
    </row>
    <row r="78" spans="3:10" hidden="1">
      <c r="C78" s="1" t="s">
        <v>80</v>
      </c>
      <c r="D78" s="2"/>
      <c r="E78" s="1"/>
      <c r="F78" s="3">
        <v>0</v>
      </c>
      <c r="G78" s="3">
        <v>0</v>
      </c>
      <c r="H78" s="3"/>
      <c r="I78" s="4">
        <v>0</v>
      </c>
      <c r="J78" s="4">
        <v>0</v>
      </c>
    </row>
    <row r="79" spans="3:10" hidden="1">
      <c r="C79" s="1" t="s">
        <v>81</v>
      </c>
      <c r="D79" s="2"/>
      <c r="E79" s="1"/>
      <c r="F79" s="3">
        <v>0</v>
      </c>
      <c r="G79" s="3">
        <v>0</v>
      </c>
      <c r="H79" s="3"/>
      <c r="I79" s="4">
        <v>0</v>
      </c>
      <c r="J79" s="4">
        <v>0</v>
      </c>
    </row>
    <row r="80" spans="3:10" hidden="1">
      <c r="C80" s="1" t="s">
        <v>82</v>
      </c>
      <c r="D80" s="2"/>
      <c r="E80" s="1"/>
      <c r="F80" s="3">
        <v>0</v>
      </c>
      <c r="G80" s="3">
        <v>0</v>
      </c>
      <c r="H80" s="3"/>
      <c r="I80" s="4">
        <v>0</v>
      </c>
      <c r="J80" s="4">
        <v>0</v>
      </c>
    </row>
    <row r="81" spans="3:10" hidden="1">
      <c r="C81" s="1" t="s">
        <v>83</v>
      </c>
      <c r="D81" s="2"/>
      <c r="E81" s="1"/>
      <c r="F81" s="3">
        <v>0</v>
      </c>
      <c r="G81" s="3">
        <v>0</v>
      </c>
      <c r="H81" s="3"/>
      <c r="I81" s="4">
        <v>0</v>
      </c>
      <c r="J81" s="4">
        <v>0</v>
      </c>
    </row>
    <row r="82" spans="3:10" hidden="1">
      <c r="C82" s="1" t="s">
        <v>84</v>
      </c>
      <c r="D82" s="2"/>
      <c r="E82" s="1"/>
      <c r="F82" s="3">
        <v>0</v>
      </c>
      <c r="G82" s="3">
        <v>0</v>
      </c>
      <c r="H82" s="3"/>
      <c r="I82" s="4">
        <v>0</v>
      </c>
      <c r="J82" s="4">
        <v>0</v>
      </c>
    </row>
    <row r="83" spans="3:10" hidden="1">
      <c r="C83" s="1" t="s">
        <v>85</v>
      </c>
      <c r="D83" s="2"/>
      <c r="E83" s="1"/>
      <c r="F83" s="3">
        <v>0</v>
      </c>
      <c r="G83" s="3">
        <v>0</v>
      </c>
      <c r="H83" s="3"/>
      <c r="I83" s="4">
        <v>0</v>
      </c>
      <c r="J83" s="4">
        <v>0</v>
      </c>
    </row>
    <row r="84" spans="3:10" hidden="1">
      <c r="C84" s="1" t="s">
        <v>86</v>
      </c>
      <c r="D84" s="2"/>
      <c r="E84" s="1"/>
      <c r="F84" s="3">
        <v>0</v>
      </c>
      <c r="G84" s="3">
        <v>0</v>
      </c>
      <c r="H84" s="3"/>
      <c r="I84" s="4">
        <v>0</v>
      </c>
      <c r="J84" s="4">
        <v>0</v>
      </c>
    </row>
    <row r="85" spans="3:10" hidden="1">
      <c r="C85" s="1" t="s">
        <v>87</v>
      </c>
      <c r="D85" s="2"/>
      <c r="E85" s="1"/>
      <c r="F85" s="3">
        <v>0</v>
      </c>
      <c r="G85" s="3">
        <v>0</v>
      </c>
      <c r="H85" s="3"/>
      <c r="I85" s="4">
        <v>0</v>
      </c>
      <c r="J85" s="4">
        <v>0</v>
      </c>
    </row>
    <row r="86" spans="3:10" hidden="1">
      <c r="C86" s="1" t="s">
        <v>88</v>
      </c>
      <c r="D86" s="2"/>
      <c r="E86" s="1"/>
      <c r="F86" s="3">
        <v>0</v>
      </c>
      <c r="G86" s="3">
        <v>0</v>
      </c>
      <c r="H86" s="3"/>
      <c r="I86" s="4">
        <v>0</v>
      </c>
      <c r="J86" s="4">
        <v>0</v>
      </c>
    </row>
    <row r="87" spans="3:10" hidden="1">
      <c r="C87" s="1" t="s">
        <v>89</v>
      </c>
      <c r="D87" s="2"/>
      <c r="E87" s="1"/>
      <c r="F87" s="3">
        <v>0</v>
      </c>
      <c r="G87" s="3">
        <v>0</v>
      </c>
      <c r="H87" s="3"/>
      <c r="I87" s="4">
        <v>0</v>
      </c>
      <c r="J87" s="4">
        <v>0</v>
      </c>
    </row>
    <row r="88" spans="3:10" hidden="1">
      <c r="C88" s="1" t="s">
        <v>90</v>
      </c>
      <c r="D88" s="2"/>
      <c r="E88" s="1"/>
      <c r="F88" s="3">
        <v>0</v>
      </c>
      <c r="G88" s="3">
        <v>0</v>
      </c>
      <c r="H88" s="3"/>
      <c r="I88" s="4">
        <v>0</v>
      </c>
      <c r="J88" s="4">
        <v>0</v>
      </c>
    </row>
    <row r="89" spans="3:10" hidden="1">
      <c r="C89" s="1" t="s">
        <v>91</v>
      </c>
      <c r="D89" s="2"/>
      <c r="E89" s="1"/>
      <c r="F89" s="3">
        <v>0</v>
      </c>
      <c r="G89" s="3">
        <v>0</v>
      </c>
      <c r="H89" s="3"/>
      <c r="I89" s="4">
        <v>0</v>
      </c>
      <c r="J89" s="4">
        <v>0</v>
      </c>
    </row>
    <row r="90" spans="3:10" hidden="1">
      <c r="C90" s="1" t="s">
        <v>92</v>
      </c>
      <c r="D90" s="2"/>
      <c r="E90" s="1"/>
      <c r="F90" s="3">
        <v>0</v>
      </c>
      <c r="G90" s="3">
        <v>0</v>
      </c>
      <c r="H90" s="3"/>
      <c r="I90" s="4">
        <v>0</v>
      </c>
      <c r="J90" s="4">
        <v>0</v>
      </c>
    </row>
    <row r="91" spans="3:10" hidden="1">
      <c r="C91" s="1" t="s">
        <v>93</v>
      </c>
      <c r="D91" s="2"/>
      <c r="E91" s="1"/>
      <c r="F91" s="3">
        <v>0</v>
      </c>
      <c r="G91" s="3">
        <v>0</v>
      </c>
      <c r="H91" s="3"/>
      <c r="I91" s="4">
        <v>0</v>
      </c>
      <c r="J91" s="4">
        <v>0</v>
      </c>
    </row>
    <row r="92" spans="3:10" hidden="1">
      <c r="C92" s="1" t="s">
        <v>94</v>
      </c>
      <c r="D92" s="2"/>
      <c r="E92" s="1"/>
      <c r="F92" s="3">
        <v>0</v>
      </c>
      <c r="G92" s="3">
        <v>0</v>
      </c>
      <c r="H92" s="3"/>
      <c r="I92" s="4">
        <v>0</v>
      </c>
      <c r="J92" s="4">
        <v>0</v>
      </c>
    </row>
    <row r="93" spans="3:10" hidden="1">
      <c r="C93" s="1" t="s">
        <v>95</v>
      </c>
      <c r="D93" s="2"/>
      <c r="E93" s="1"/>
      <c r="F93" s="3">
        <v>0</v>
      </c>
      <c r="G93" s="3">
        <v>0</v>
      </c>
      <c r="H93" s="3"/>
      <c r="I93" s="4">
        <v>0</v>
      </c>
      <c r="J93" s="4">
        <v>0</v>
      </c>
    </row>
    <row r="94" spans="3:10" hidden="1">
      <c r="C94" s="1" t="s">
        <v>96</v>
      </c>
      <c r="D94" s="2"/>
      <c r="E94" s="1"/>
      <c r="F94" s="3">
        <v>0</v>
      </c>
      <c r="G94" s="3">
        <v>0</v>
      </c>
      <c r="H94" s="3"/>
      <c r="I94" s="4">
        <v>0</v>
      </c>
      <c r="J94" s="4">
        <v>0</v>
      </c>
    </row>
    <row r="95" spans="3:10" hidden="1">
      <c r="C95" s="1" t="s">
        <v>97</v>
      </c>
      <c r="D95" s="2"/>
      <c r="E95" s="1"/>
      <c r="F95" s="3">
        <v>0</v>
      </c>
      <c r="G95" s="3">
        <v>0</v>
      </c>
      <c r="H95" s="3"/>
      <c r="I95" s="4">
        <v>0</v>
      </c>
      <c r="J95" s="4">
        <v>0</v>
      </c>
    </row>
    <row r="96" spans="3:10" hidden="1">
      <c r="C96" s="1" t="s">
        <v>98</v>
      </c>
      <c r="D96" s="2"/>
      <c r="E96" s="1"/>
      <c r="F96" s="3">
        <v>0</v>
      </c>
      <c r="G96" s="3">
        <v>0</v>
      </c>
      <c r="H96" s="3"/>
      <c r="I96" s="4">
        <v>0</v>
      </c>
      <c r="J96" s="4">
        <v>0</v>
      </c>
    </row>
    <row r="97" spans="3:10" hidden="1">
      <c r="C97" s="1" t="s">
        <v>99</v>
      </c>
      <c r="D97" s="2"/>
      <c r="E97" s="1"/>
      <c r="F97" s="3">
        <v>0</v>
      </c>
      <c r="G97" s="3">
        <v>0</v>
      </c>
      <c r="H97" s="3"/>
      <c r="I97" s="4">
        <v>0</v>
      </c>
      <c r="J97" s="4">
        <v>0</v>
      </c>
    </row>
    <row r="98" spans="3:10" hidden="1">
      <c r="C98" s="1" t="s">
        <v>100</v>
      </c>
      <c r="D98" s="2"/>
      <c r="E98" s="1"/>
      <c r="F98" s="3">
        <v>0</v>
      </c>
      <c r="G98" s="3">
        <v>0</v>
      </c>
      <c r="H98" s="3"/>
      <c r="I98" s="4">
        <v>0</v>
      </c>
      <c r="J98" s="4">
        <v>0</v>
      </c>
    </row>
    <row r="99" spans="3:10" hidden="1">
      <c r="C99" s="1" t="s">
        <v>101</v>
      </c>
      <c r="D99" s="2"/>
      <c r="E99" s="1"/>
      <c r="F99" s="3">
        <v>0</v>
      </c>
      <c r="G99" s="3">
        <v>0</v>
      </c>
      <c r="H99" s="3"/>
      <c r="I99" s="4">
        <v>0</v>
      </c>
      <c r="J99" s="4">
        <v>0</v>
      </c>
    </row>
    <row r="100" spans="3:10" hidden="1">
      <c r="C100" s="1" t="s">
        <v>102</v>
      </c>
      <c r="D100" s="2"/>
      <c r="E100" s="1"/>
      <c r="F100" s="3">
        <v>0</v>
      </c>
      <c r="G100" s="3">
        <v>0</v>
      </c>
      <c r="H100" s="3"/>
      <c r="I100" s="4">
        <v>0</v>
      </c>
      <c r="J100" s="4">
        <v>0</v>
      </c>
    </row>
    <row r="101" spans="3:10" hidden="1">
      <c r="C101" s="1" t="s">
        <v>103</v>
      </c>
      <c r="D101" s="2"/>
      <c r="E101" s="1"/>
      <c r="F101" s="3">
        <v>0</v>
      </c>
      <c r="G101" s="3">
        <v>0</v>
      </c>
      <c r="H101" s="3"/>
      <c r="I101" s="4">
        <v>0</v>
      </c>
      <c r="J101" s="4">
        <v>0</v>
      </c>
    </row>
    <row r="102" spans="3:10" hidden="1">
      <c r="C102" s="1" t="s">
        <v>104</v>
      </c>
      <c r="D102" s="2"/>
      <c r="E102" s="1"/>
      <c r="F102" s="3">
        <v>0</v>
      </c>
      <c r="G102" s="3">
        <v>0</v>
      </c>
      <c r="H102" s="3"/>
      <c r="I102" s="4">
        <v>0</v>
      </c>
      <c r="J102" s="4">
        <v>0</v>
      </c>
    </row>
    <row r="103" spans="3:10" hidden="1">
      <c r="C103" s="1" t="s">
        <v>105</v>
      </c>
      <c r="D103" s="2"/>
      <c r="E103" s="1"/>
      <c r="F103" s="3">
        <v>0</v>
      </c>
      <c r="G103" s="3">
        <v>0</v>
      </c>
      <c r="H103" s="3"/>
      <c r="I103" s="4">
        <v>0</v>
      </c>
      <c r="J103" s="4">
        <v>0</v>
      </c>
    </row>
    <row r="104" spans="3:10" hidden="1">
      <c r="C104" s="1" t="s">
        <v>106</v>
      </c>
      <c r="D104" s="2"/>
      <c r="E104" s="1"/>
      <c r="F104" s="3">
        <v>0</v>
      </c>
      <c r="G104" s="3">
        <v>0</v>
      </c>
      <c r="H104" s="3"/>
      <c r="I104" s="4">
        <v>0</v>
      </c>
      <c r="J104" s="4">
        <v>0</v>
      </c>
    </row>
    <row r="105" spans="3:10" hidden="1">
      <c r="C105" s="1" t="s">
        <v>107</v>
      </c>
      <c r="D105" s="2"/>
      <c r="E105" s="1"/>
      <c r="F105" s="3">
        <v>0</v>
      </c>
      <c r="G105" s="3">
        <v>0</v>
      </c>
      <c r="H105" s="3"/>
      <c r="I105" s="4">
        <v>0</v>
      </c>
      <c r="J105" s="4">
        <v>0</v>
      </c>
    </row>
    <row r="106" spans="3:10" hidden="1">
      <c r="C106" s="1" t="s">
        <v>108</v>
      </c>
      <c r="D106" s="2"/>
      <c r="E106" s="1"/>
      <c r="F106" s="3">
        <v>0</v>
      </c>
      <c r="G106" s="3">
        <v>0</v>
      </c>
      <c r="H106" s="3"/>
      <c r="I106" s="4">
        <v>0</v>
      </c>
      <c r="J106" s="4">
        <v>0</v>
      </c>
    </row>
    <row r="107" spans="3:10" hidden="1">
      <c r="C107" s="1" t="s">
        <v>109</v>
      </c>
      <c r="D107" s="2"/>
      <c r="E107" s="1"/>
      <c r="F107" s="3">
        <v>0</v>
      </c>
      <c r="G107" s="3">
        <v>0</v>
      </c>
      <c r="H107" s="3"/>
      <c r="I107" s="4">
        <v>0</v>
      </c>
      <c r="J107" s="4">
        <v>0</v>
      </c>
    </row>
    <row r="109" spans="3:10" ht="15">
      <c r="C109" s="20"/>
      <c r="D109" s="20"/>
      <c r="E109" s="20"/>
      <c r="F109" s="18"/>
      <c r="G109" s="18"/>
      <c r="H109" s="18"/>
      <c r="I109" s="19"/>
      <c r="J109" s="19"/>
    </row>
    <row r="115" spans="3:7" ht="15">
      <c r="C115" s="17"/>
      <c r="D115" s="17"/>
      <c r="E115" s="17"/>
      <c r="F115" s="17"/>
      <c r="G115" s="17"/>
    </row>
    <row r="116" spans="3:7">
      <c r="C116" s="4"/>
      <c r="D116" s="1"/>
      <c r="E116" s="2"/>
      <c r="F116" s="1"/>
      <c r="G116" s="3"/>
    </row>
    <row r="117" spans="3:7">
      <c r="C117" s="4"/>
      <c r="D117" s="1"/>
      <c r="E117" s="2"/>
      <c r="F117" s="1"/>
      <c r="G117" s="3"/>
    </row>
    <row r="118" spans="3:7">
      <c r="C118" s="4"/>
      <c r="D118" s="1"/>
      <c r="E118" s="2"/>
      <c r="F118" s="1"/>
      <c r="G118" s="3"/>
    </row>
    <row r="119" spans="3:7">
      <c r="C119" s="4"/>
      <c r="D119" s="1"/>
      <c r="E119" s="2"/>
      <c r="F119" s="1"/>
      <c r="G119" s="3"/>
    </row>
    <row r="120" spans="3:7">
      <c r="C120" s="4"/>
      <c r="D120" s="1"/>
      <c r="E120" s="2"/>
      <c r="F120" s="1"/>
      <c r="G120" s="3"/>
    </row>
    <row r="121" spans="3:7">
      <c r="C121" s="4"/>
      <c r="D121" s="1"/>
      <c r="E121" s="2"/>
      <c r="F121" s="1"/>
      <c r="G121" s="3"/>
    </row>
    <row r="122" spans="3:7">
      <c r="C122" s="4"/>
      <c r="D122" s="1"/>
      <c r="E122" s="2"/>
      <c r="F122" s="1"/>
      <c r="G122" s="3"/>
    </row>
    <row r="123" spans="3:7">
      <c r="C123" s="4"/>
      <c r="D123" s="1"/>
      <c r="E123" s="2"/>
      <c r="F123" s="1"/>
      <c r="G123" s="3"/>
    </row>
  </sheetData>
  <mergeCells count="8">
    <mergeCell ref="B1:L2"/>
    <mergeCell ref="C5:D5"/>
    <mergeCell ref="E5:F5"/>
    <mergeCell ref="G5:I5"/>
    <mergeCell ref="A4:B5"/>
    <mergeCell ref="C4:D4"/>
    <mergeCell ref="E4:F4"/>
    <mergeCell ref="G4:I4"/>
  </mergeCells>
  <phoneticPr fontId="7" type="noConversion"/>
  <conditionalFormatting sqref="A8:B15">
    <cfRule type="expression" dxfId="3" priority="1">
      <formula>AND($D8&lt;&gt;"",#REF!&lt;=2)</formula>
    </cfRule>
  </conditionalFormatting>
  <conditionalFormatting sqref="C116:C123">
    <cfRule type="expression" dxfId="2" priority="6">
      <formula>AND($D116&lt;&gt;"",#REF!&lt;=2)</formula>
    </cfRule>
  </conditionalFormatting>
  <conditionalFormatting sqref="J8:J107">
    <cfRule type="expression" dxfId="1" priority="9">
      <formula>AND($D8&lt;&gt;"",$J8&lt;=3)</formula>
    </cfRule>
  </conditionalFormatting>
  <conditionalFormatting sqref="K8:L15">
    <cfRule type="expression" dxfId="0" priority="2">
      <formula>AND($D8&lt;&gt;"",$J8&lt;=3)</formula>
    </cfRule>
  </conditionalFormatting>
  <dataValidations disablePrompts="1" count="1">
    <dataValidation type="list" sqref="E8:E107 F116:F123" xr:uid="{00000000-0002-0000-0000-000000000000}">
      <formula1>"UN,LATA,GARRAFA,CAIXA,PACOTE,KG,L"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Frigobar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Johni Michael</cp:lastModifiedBy>
  <dcterms:created xsi:type="dcterms:W3CDTF">2026-05-07T18:08:21Z</dcterms:created>
  <dcterms:modified xsi:type="dcterms:W3CDTF">2026-05-28T11:24:10Z</dcterms:modified>
</cp:coreProperties>
</file>